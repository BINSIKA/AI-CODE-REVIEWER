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nsi\Downloads\"/>
    </mc:Choice>
  </mc:AlternateContent>
  <xr:revisionPtr revIDLastSave="0" documentId="13_ncr:1_{874F9358-4E95-4C8A-91C6-96AF142A2A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 Log" sheetId="1" r:id="rId1"/>
    <sheet name="Dashboard" sheetId="2" r:id="rId2"/>
    <sheet name="Defect Types" sheetId="3" r:id="rId3"/>
    <sheet name="Sprint Summary" sheetId="4" r:id="rId4"/>
  </sheets>
  <calcPr calcId="0"/>
</workbook>
</file>

<file path=xl/sharedStrings.xml><?xml version="1.0" encoding="utf-8"?>
<sst xmlns="http://schemas.openxmlformats.org/spreadsheetml/2006/main" count="169" uniqueCount="93">
  <si>
    <t>AI Code Reviewer — Defect Tracker</t>
  </si>
  <si>
    <t>Sl No</t>
  </si>
  <si>
    <t>Defect ID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</si>
  <si>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</si>
  <si>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</si>
  <si>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</si>
  <si>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</si>
  <si>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</si>
  <si>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</si>
  <si>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</si>
  <si>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</si>
  <si>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</t>
  </si>
  <si>
    <t>DEF-001</t>
  </si>
  <si>
    <t>BINSIKA</t>
  </si>
  <si>
    <t>Unused imports were not being detected correctly for certain Python files — AST visitor skipped aliased imports</t>
  </si>
  <si>
    <t>Sprint 1</t>
  </si>
  <si>
    <t>Self</t>
  </si>
  <si>
    <t>Logical</t>
  </si>
  <si>
    <t>Improved AST traversal logic in error_detector.py to correctly identify aliased unused imports using visit_Import and visit_ImportFrom</t>
  </si>
  <si>
    <t>Closed</t>
  </si>
  <si>
    <t>DEF-002</t>
  </si>
  <si>
    <t>PEP8 style violations were not highlighted consistently in the output — line-length check was missing</t>
  </si>
  <si>
    <t>Standards</t>
  </si>
  <si>
    <t>Integrated stricter PEP8 line-length checks and improved formatting rule output in error_detector.py</t>
  </si>
  <si>
    <t>DEF-003</t>
  </si>
  <si>
    <t>Bare 'except:' clause detection was throwing false positives on try-except-else blocks</t>
  </si>
  <si>
    <t>Added contextual check using AST node handler attribute to verify bare except before flagging</t>
  </si>
  <si>
    <t>DEF-004</t>
  </si>
  <si>
    <t>Groq API returning 429 rate-limit errors during rapid consecutive code submissions from the UI</t>
  </si>
  <si>
    <t>Sprint 2</t>
  </si>
  <si>
    <t>Others</t>
  </si>
  <si>
    <t>Added exponential back-off retry logic in ai_suggester.py and user-visible 'AI busy' status message</t>
  </si>
  <si>
    <t>DEF-005</t>
  </si>
  <si>
    <t>Reflex State variable 'static_results' not updating on second analysis if same code was re-submitted</t>
  </si>
  <si>
    <t>Forced state reset at the start of run_full_review() to clear previous results before yield</t>
  </si>
  <si>
    <t>DEF-006</t>
  </si>
  <si>
    <t>Side-by-side comparison pane not rendering corrected code for JavaScript submissions — showed empty box</t>
  </si>
  <si>
    <t>User Interface</t>
  </si>
  <si>
    <t>Fixed conditional rx.cond logic in posts() page; corrected_code state variable was not bound to JS result path</t>
  </si>
  <si>
    <t>DEF-007</t>
  </si>
  <si>
    <t>Quality grade displayed 'N/A' after successful analysis — grade state variable not reset between sessions</t>
  </si>
  <si>
    <t>Sprint 3</t>
  </si>
  <si>
    <t>Initialized grade state to empty string and updated gradeFromIssues() to always return a valid letter</t>
  </si>
  <si>
    <t>DEF-008</t>
  </si>
  <si>
    <t>AI summary JSON response from Groq occasionally contained markdown fences causing JSON.parse() failure</t>
  </si>
  <si>
    <t>Added .replace('```json','').replace('```','').strip() sanitization in ai_suggester.py before JSON.parse</t>
  </si>
  <si>
    <t>DEF-009</t>
  </si>
  <si>
    <t>FastAPI server on Windows throwing WinError 10013 (socket permission) on host 0.0.0.0</t>
  </si>
  <si>
    <t>Changed server host to 127.0.0.1 in server.py; updated API_URL in main.py to match</t>
  </si>
  <si>
    <t>DEF-010</t>
  </si>
  <si>
    <t>Review History page showing all cards collapsed with no expand toggle — on_click lambda not bound to index</t>
  </si>
  <si>
    <t>Sprint 4</t>
  </si>
  <si>
    <t>Refactored toggle_history_item() to accept index parameter; updated rx.foreach loop to pass idx correctly</t>
  </si>
  <si>
    <t>DEF-011</t>
  </si>
  <si>
    <t>Variable context (code_visitor) showing Python builtins like 'print' and 'len' as created variables</t>
  </si>
  <si>
    <t>Expanded PYTHON_BUILTINS frozenset in error_detector.py to exclude all standard built-in names</t>
  </si>
  <si>
    <t>DEF-012</t>
  </si>
  <si>
    <t>PDF report download opens blank page on some Chrome versions — window.print() not triggered after content load</t>
  </si>
  <si>
    <t>Wrapped window.print() in setTimeout(500ms) to allow DOM to fully render before printing</t>
  </si>
  <si>
    <t>Open</t>
  </si>
  <si>
    <t>TOTAL DEFECTS: 12</t>
  </si>
  <si>
    <t>Closed: 11    Open: 1</t>
  </si>
  <si>
    <t>92% closure rate</t>
  </si>
  <si>
    <t>Defect Dashboard — AI Code Reviewer</t>
  </si>
  <si>
    <t>Sprint-wise &amp; Type-wise defect summary with trend analysis</t>
  </si>
  <si>
    <t>Total Defects</t>
  </si>
  <si>
    <t>Defects by Sprint</t>
  </si>
  <si>
    <t>Defects by Type</t>
  </si>
  <si>
    <t>Sprint</t>
  </si>
  <si>
    <t>Total</t>
  </si>
  <si>
    <t>UI</t>
  </si>
  <si>
    <t>Type</t>
  </si>
  <si>
    <t>Count</t>
  </si>
  <si>
    <t>%</t>
  </si>
  <si>
    <t>50%</t>
  </si>
  <si>
    <t>33%</t>
  </si>
  <si>
    <t>8%</t>
  </si>
  <si>
    <t>TOTAL</t>
  </si>
  <si>
    <t>Defect Type Reference</t>
  </si>
  <si>
    <t>Errors in code logic, wrong algorithm, incorrect AST traversal</t>
  </si>
  <si>
    <t>Defects in Reflex frontend components, state binding, layout</t>
  </si>
  <si>
    <t>PEP8, code style, naming convention violations</t>
  </si>
  <si>
    <t>Maintainability</t>
  </si>
  <si>
    <t>Code readability, modularity, documentation gaps</t>
  </si>
  <si>
    <t>Environment, API, networking, configuration issues</t>
  </si>
  <si>
    <t>Sprint-wise Defect Summary — AI Code Reviewer</t>
  </si>
  <si>
    <t>Start Date</t>
  </si>
  <si>
    <t>End Date</t>
  </si>
  <si>
    <t>Notes</t>
  </si>
  <si>
    <t>All defects resolved. AST and style detection stabilized.</t>
  </si>
  <si>
    <t>Groq API retry and Reflex state binding issues resolved.</t>
  </si>
  <si>
    <t>AI JSON parsing and server socket issues fixed.</t>
  </si>
  <si>
    <t>1 open defect (PDF print) — deferred to next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</si>
</sst>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A5B4FC"/>
      <name val="Arial"/>
    </font>
    <font>
      <b/>
      <sz val="10"/>
      <color rgb="FFFFFFFF"/>
      <name val="Arial"/>
    </font>
    <font>
      <b/>
      <sz val="10"/>
      <color rgb="FF1A3A5C"/>
      <name val="Arial"/>
    </font>
    <font>
      <b/>
      <sz val="10"/>
      <color rgb="FF2563EB"/>
      <name val="Arial"/>
    </font>
    <font>
      <b/>
      <sz val="9"/>
      <color rgb="FF0D1B2A"/>
      <name val="Arial"/>
    </font>
    <font>
      <b/>
      <sz val="10"/>
      <color rgb="FF16A34A"/>
      <name val="Arial"/>
    </font>
    <font>
      <sz val="10"/>
      <color rgb="FF000000"/>
      <name val="Arial"/>
    </font>
    <font>
      <b/>
      <sz val="10"/>
      <color rgb="FFDC2626"/>
      <name val="Arial"/>
    </font>
    <font>
      <b/>
      <sz val="15"/>
      <color rgb="FFFFFFFF"/>
      <name val="Arial"/>
    </font>
    <font>
      <b/>
      <sz val="28"/>
      <color rgb="FF2563EB"/>
      <name val="Arial"/>
    </font>
    <font>
      <b/>
      <sz val="28"/>
      <color rgb="FF16A34A"/>
      <name val="Arial"/>
    </font>
    <font>
      <b/>
      <sz val="28"/>
      <color rgb="FFDC2626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b/>
      <sz val="14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A3A5C"/>
      </patternFill>
    </fill>
    <fill>
      <patternFill patternType="solid">
        <fgColor rgb="FF2563EB"/>
      </patternFill>
    </fill>
    <fill>
      <patternFill patternType="solid">
        <fgColor rgb="FFEDE9FE"/>
      </patternFill>
    </fill>
    <fill>
      <patternFill patternType="solid">
        <fgColor rgb="FFDCFCE7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0F4FF"/>
      </patternFill>
    </fill>
    <fill>
      <patternFill patternType="solid">
        <fgColor rgb="FFF9FAFB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E0F2FE"/>
      </patternFill>
    </fill>
  </fills>
  <borders count="6">
    <border>
      <left/>
      <right/>
      <top/>
      <bottom/>
      <diagonal/>
    </border>
    <border>
      <left style="thin">
        <color rgb="FF0D1B2A"/>
      </left>
      <right style="thin">
        <color rgb="FF0D1B2A"/>
      </right>
      <top style="thin">
        <color rgb="FF0D1B2A"/>
      </top>
      <bottom style="thin">
        <color rgb="FF0D1B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 wrapText="1"/>
    </xf>
    <xf numFmtId="165" fontId="8" fillId="7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 wrapText="1"/>
    </xf>
    <xf numFmtId="165" fontId="8" fillId="9" borderId="2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15" fillId="13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3" fillId="12" borderId="5" xfId="0" applyFont="1" applyFill="1" applyBorder="1" applyAlignment="1">
      <alignment horizontal="center" vertical="center"/>
    </xf>
    <xf numFmtId="0" fontId="0" fillId="0" borderId="5" xfId="0" applyBorder="1"/>
    <xf numFmtId="0" fontId="12" fillId="6" borderId="4" xfId="0" applyFont="1" applyFill="1" applyBorder="1" applyAlignment="1">
      <alignment horizontal="center" vertical="center"/>
    </xf>
    <xf numFmtId="0" fontId="0" fillId="0" borderId="4" xfId="0" applyBorder="1"/>
    <xf numFmtId="0" fontId="14" fillId="3" borderId="0" xfId="0" applyFont="1" applyFill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0" fillId="0" borderId="3" xfId="0" applyBorder="1"/>
    <xf numFmtId="0" fontId="7" fillId="6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Defects per Sprint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Dashboard!$A$12:$A$15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</c:strCache>
            </c:strRef>
          </c:cat>
          <c:val>
            <c:numRef>
              <c:f>Dashboard!$B$12:$B$15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C-40C2-8C39-56D54F1FE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Sprint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Defect Type Breakdown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Dashboard!$I$11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Dashboard!$H$12:$H$15</c:f>
              <c:strCache>
                <c:ptCount val="4"/>
                <c:pt idx="0">
                  <c:v>Logical</c:v>
                </c:pt>
                <c:pt idx="1">
                  <c:v>User Interface</c:v>
                </c:pt>
                <c:pt idx="2">
                  <c:v>Standards</c:v>
                </c:pt>
                <c:pt idx="3">
                  <c:v>Others</c:v>
                </c:pt>
              </c:strCache>
            </c:strRef>
          </c:cat>
          <c:val>
            <c:numRef>
              <c:f>Dashboard!$I$12:$I$15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8-46F7-8E5C-F4801E44F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504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63EB"/>
  </sheetPr>
  <dimension ref="A1:K17"/>
  <sheetViews>
    <sheetView showGridLines="0" tabSelected="1" workbookViewId="0">
      <pane ySplit="4" topLeftCell="A9" activePane="bottomLeft" state="frozen"/>
      <selection pane="bottomLeft" activeCell="I10" sqref="I10"/>
    </sheetView>
  </sheetViews>
  <sheetFormatPr defaultRowHeight="14.4" x14ac:dyDescent="0.3"/>
  <cols>
    <col min="1" max="1" width="6" customWidth="1"/>
    <col min="2" max="2" width="12" customWidth="1"/>
    <col min="3" max="4" width="14" customWidth="1"/>
    <col min="5" max="5" width="52" customWidth="1"/>
    <col min="6" max="7" width="14" customWidth="1"/>
    <col min="8" max="8" width="16" customWidth="1"/>
    <col min="9" max="9" width="48" customWidth="1"/>
    <col min="10" max="10" width="16" customWidth="1"/>
    <col min="11" max="11" width="12" customWidth="1"/>
  </cols>
  <sheetData>
    <row r="1" spans="1:11" x14ac:dyDescent="0.3">
      <c r="A1" s="38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x14ac:dyDescent="0.3">
      <c r="A3" s="36"/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 ht="31.9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48" customHeight="1" x14ac:dyDescent="0.3">
      <c r="A5" s="2">
        <v>1</v>
      </c>
      <c r="B5" s="3" t="s">
        <v>12</v>
      </c>
      <c r="C5" s="4" t="s">
        <v>13</v>
      </c>
      <c r="D5" s="5">
        <v>46058</v>
      </c>
      <c r="E5" s="4" t="s">
        <v>14</v>
      </c>
      <c r="F5" s="6" t="s">
        <v>15</v>
      </c>
      <c r="G5" s="6" t="s">
        <v>16</v>
      </c>
      <c r="H5" s="7" t="s">
        <v>17</v>
      </c>
      <c r="I5" s="4" t="s">
        <v>18</v>
      </c>
      <c r="J5" s="5">
        <v>46058</v>
      </c>
      <c r="K5" s="8" t="s">
        <v>19</v>
      </c>
    </row>
    <row r="6" spans="1:11" ht="48" customHeight="1" x14ac:dyDescent="0.3">
      <c r="A6" s="9">
        <v>2</v>
      </c>
      <c r="B6" s="10" t="s">
        <v>20</v>
      </c>
      <c r="C6" s="11" t="s">
        <v>13</v>
      </c>
      <c r="D6" s="12">
        <v>46090</v>
      </c>
      <c r="E6" s="11" t="s">
        <v>21</v>
      </c>
      <c r="F6" s="13" t="s">
        <v>15</v>
      </c>
      <c r="G6" s="13" t="s">
        <v>16</v>
      </c>
      <c r="H6" s="14" t="s">
        <v>22</v>
      </c>
      <c r="I6" s="11" t="s">
        <v>23</v>
      </c>
      <c r="J6" s="12">
        <v>46095</v>
      </c>
      <c r="K6" s="8" t="s">
        <v>19</v>
      </c>
    </row>
    <row r="7" spans="1:11" ht="48" customHeight="1" x14ac:dyDescent="0.3">
      <c r="A7" s="2">
        <v>3</v>
      </c>
      <c r="B7" s="3" t="s">
        <v>24</v>
      </c>
      <c r="C7" s="4" t="s">
        <v>13</v>
      </c>
      <c r="D7" s="5">
        <v>46063</v>
      </c>
      <c r="E7" s="4" t="s">
        <v>25</v>
      </c>
      <c r="F7" s="6" t="s">
        <v>15</v>
      </c>
      <c r="G7" s="6" t="s">
        <v>16</v>
      </c>
      <c r="H7" s="7" t="s">
        <v>17</v>
      </c>
      <c r="I7" s="4" t="s">
        <v>26</v>
      </c>
      <c r="J7" s="5">
        <v>46064</v>
      </c>
      <c r="K7" s="8" t="s">
        <v>19</v>
      </c>
    </row>
    <row r="8" spans="1:11" ht="48" customHeight="1" x14ac:dyDescent="0.3">
      <c r="A8" s="9">
        <v>4</v>
      </c>
      <c r="B8" s="10" t="s">
        <v>27</v>
      </c>
      <c r="C8" s="11" t="s">
        <v>13</v>
      </c>
      <c r="D8" s="12">
        <v>46069</v>
      </c>
      <c r="E8" s="11" t="s">
        <v>28</v>
      </c>
      <c r="F8" s="13" t="s">
        <v>29</v>
      </c>
      <c r="G8" s="13" t="s">
        <v>16</v>
      </c>
      <c r="H8" s="15" t="s">
        <v>30</v>
      </c>
      <c r="I8" s="11" t="s">
        <v>31</v>
      </c>
      <c r="J8" s="12">
        <v>46071</v>
      </c>
      <c r="K8" s="8" t="s">
        <v>19</v>
      </c>
    </row>
    <row r="9" spans="1:11" ht="48" customHeight="1" x14ac:dyDescent="0.3">
      <c r="A9" s="2">
        <v>5</v>
      </c>
      <c r="B9" s="3" t="s">
        <v>32</v>
      </c>
      <c r="C9" s="4" t="s">
        <v>13</v>
      </c>
      <c r="D9" s="5">
        <v>46070</v>
      </c>
      <c r="E9" s="4" t="s">
        <v>33</v>
      </c>
      <c r="F9" s="6" t="s">
        <v>29</v>
      </c>
      <c r="G9" s="6" t="s">
        <v>16</v>
      </c>
      <c r="H9" s="7" t="s">
        <v>17</v>
      </c>
      <c r="I9" s="4" t="s">
        <v>34</v>
      </c>
      <c r="J9" s="5">
        <v>46071</v>
      </c>
      <c r="K9" s="8" t="s">
        <v>19</v>
      </c>
    </row>
    <row r="10" spans="1:11" ht="48" customHeight="1" x14ac:dyDescent="0.3">
      <c r="A10" s="9">
        <v>6</v>
      </c>
      <c r="B10" s="10" t="s">
        <v>35</v>
      </c>
      <c r="C10" s="11" t="s">
        <v>13</v>
      </c>
      <c r="D10" s="12">
        <v>46073</v>
      </c>
      <c r="E10" s="11" t="s">
        <v>36</v>
      </c>
      <c r="F10" s="13" t="s">
        <v>29</v>
      </c>
      <c r="G10" s="13" t="s">
        <v>16</v>
      </c>
      <c r="H10" s="16" t="s">
        <v>37</v>
      </c>
      <c r="I10" s="11" t="s">
        <v>38</v>
      </c>
      <c r="J10" s="12">
        <v>46075</v>
      </c>
      <c r="K10" s="8" t="s">
        <v>19</v>
      </c>
    </row>
    <row r="11" spans="1:11" ht="48" customHeight="1" x14ac:dyDescent="0.3">
      <c r="A11" s="2">
        <v>7</v>
      </c>
      <c r="B11" s="3" t="s">
        <v>39</v>
      </c>
      <c r="C11" s="4" t="s">
        <v>13</v>
      </c>
      <c r="D11" s="5">
        <v>46084</v>
      </c>
      <c r="E11" s="4" t="s">
        <v>40</v>
      </c>
      <c r="F11" s="6" t="s">
        <v>41</v>
      </c>
      <c r="G11" s="6" t="s">
        <v>16</v>
      </c>
      <c r="H11" s="16" t="s">
        <v>37</v>
      </c>
      <c r="I11" s="4" t="s">
        <v>42</v>
      </c>
      <c r="J11" s="5">
        <v>46085</v>
      </c>
      <c r="K11" s="8" t="s">
        <v>19</v>
      </c>
    </row>
    <row r="12" spans="1:11" ht="48" customHeight="1" x14ac:dyDescent="0.3">
      <c r="A12" s="9">
        <v>8</v>
      </c>
      <c r="B12" s="10" t="s">
        <v>43</v>
      </c>
      <c r="C12" s="11" t="s">
        <v>13</v>
      </c>
      <c r="D12" s="12">
        <v>46086</v>
      </c>
      <c r="E12" s="11" t="s">
        <v>44</v>
      </c>
      <c r="F12" s="13" t="s">
        <v>41</v>
      </c>
      <c r="G12" s="13" t="s">
        <v>16</v>
      </c>
      <c r="H12" s="7" t="s">
        <v>17</v>
      </c>
      <c r="I12" s="11" t="s">
        <v>45</v>
      </c>
      <c r="J12" s="12">
        <v>46087</v>
      </c>
      <c r="K12" s="8" t="s">
        <v>19</v>
      </c>
    </row>
    <row r="13" spans="1:11" ht="48" customHeight="1" x14ac:dyDescent="0.3">
      <c r="A13" s="2">
        <v>9</v>
      </c>
      <c r="B13" s="3" t="s">
        <v>46</v>
      </c>
      <c r="C13" s="4" t="s">
        <v>13</v>
      </c>
      <c r="D13" s="5">
        <v>46090</v>
      </c>
      <c r="E13" s="4" t="s">
        <v>47</v>
      </c>
      <c r="F13" s="6" t="s">
        <v>41</v>
      </c>
      <c r="G13" s="6" t="s">
        <v>16</v>
      </c>
      <c r="H13" s="15" t="s">
        <v>30</v>
      </c>
      <c r="I13" s="4" t="s">
        <v>48</v>
      </c>
      <c r="J13" s="5">
        <v>46090</v>
      </c>
      <c r="K13" s="8" t="s">
        <v>19</v>
      </c>
    </row>
    <row r="14" spans="1:11" ht="48" customHeight="1" x14ac:dyDescent="0.3">
      <c r="A14" s="9">
        <v>10</v>
      </c>
      <c r="B14" s="10" t="s">
        <v>49</v>
      </c>
      <c r="C14" s="11" t="s">
        <v>13</v>
      </c>
      <c r="D14" s="12">
        <v>46097</v>
      </c>
      <c r="E14" s="11" t="s">
        <v>50</v>
      </c>
      <c r="F14" s="13" t="s">
        <v>51</v>
      </c>
      <c r="G14" s="13" t="s">
        <v>16</v>
      </c>
      <c r="H14" s="16" t="s">
        <v>37</v>
      </c>
      <c r="I14" s="11" t="s">
        <v>52</v>
      </c>
      <c r="J14" s="12">
        <v>46098</v>
      </c>
      <c r="K14" s="8" t="s">
        <v>19</v>
      </c>
    </row>
    <row r="15" spans="1:11" ht="48" customHeight="1" x14ac:dyDescent="0.3">
      <c r="A15" s="2">
        <v>11</v>
      </c>
      <c r="B15" s="3" t="s">
        <v>53</v>
      </c>
      <c r="C15" s="4" t="s">
        <v>13</v>
      </c>
      <c r="D15" s="5">
        <v>46101</v>
      </c>
      <c r="E15" s="4" t="s">
        <v>54</v>
      </c>
      <c r="F15" s="6" t="s">
        <v>51</v>
      </c>
      <c r="G15" s="6" t="s">
        <v>16</v>
      </c>
      <c r="H15" s="7" t="s">
        <v>17</v>
      </c>
      <c r="I15" s="4" t="s">
        <v>55</v>
      </c>
      <c r="J15" s="5">
        <v>46102</v>
      </c>
      <c r="K15" s="8" t="s">
        <v>19</v>
      </c>
    </row>
    <row r="16" spans="1:11" ht="48" customHeight="1" x14ac:dyDescent="0.3">
      <c r="A16" s="9">
        <v>12</v>
      </c>
      <c r="B16" s="10" t="s">
        <v>56</v>
      </c>
      <c r="C16" s="11" t="s">
        <v>13</v>
      </c>
      <c r="D16" s="12">
        <v>46106</v>
      </c>
      <c r="E16" s="11" t="s">
        <v>57</v>
      </c>
      <c r="F16" s="13" t="s">
        <v>51</v>
      </c>
      <c r="G16" s="13" t="s">
        <v>16</v>
      </c>
      <c r="H16" s="16" t="s">
        <v>37</v>
      </c>
      <c r="I16" s="11" t="s">
        <v>58</v>
      </c>
      <c r="J16" s="12">
        <v>46107</v>
      </c>
      <c r="K16" s="17" t="s">
        <v>59</v>
      </c>
    </row>
    <row r="17" spans="1:11" x14ac:dyDescent="0.3">
      <c r="A17" s="33" t="s">
        <v>60</v>
      </c>
      <c r="B17" s="34"/>
      <c r="C17" s="34"/>
      <c r="D17" s="34"/>
      <c r="E17" s="35" t="s">
        <v>61</v>
      </c>
      <c r="F17" s="34"/>
      <c r="G17" s="34"/>
      <c r="H17" s="34"/>
      <c r="I17" s="37" t="s">
        <v>62</v>
      </c>
      <c r="J17" s="34"/>
      <c r="K17" s="34"/>
    </row>
  </sheetData>
  <mergeCells count="5">
    <mergeCell ref="A17:D17"/>
    <mergeCell ref="E17:H17"/>
    <mergeCell ref="A3:K3"/>
    <mergeCell ref="I17:K17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C3AED"/>
  </sheetPr>
  <dimension ref="A1:L16"/>
  <sheetViews>
    <sheetView showGridLines="0" workbookViewId="0">
      <selection sqref="A1:L2"/>
    </sheetView>
  </sheetViews>
  <sheetFormatPr defaultRowHeight="14.4" x14ac:dyDescent="0.3"/>
  <cols>
    <col min="1" max="1" width="12" customWidth="1"/>
    <col min="2" max="6" width="8" customWidth="1"/>
    <col min="7" max="7" width="4" customWidth="1"/>
    <col min="8" max="8" width="16" customWidth="1"/>
    <col min="9" max="12" width="8" customWidth="1"/>
  </cols>
  <sheetData>
    <row r="1" spans="1:12" x14ac:dyDescent="0.3">
      <c r="A1" s="47" t="s">
        <v>63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x14ac:dyDescent="0.3">
      <c r="A3" s="36" t="s">
        <v>64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5" spans="1:12" x14ac:dyDescent="0.3">
      <c r="A5" s="49" t="s">
        <v>65</v>
      </c>
      <c r="B5" s="45"/>
      <c r="C5" s="45"/>
      <c r="D5" s="45"/>
      <c r="E5" s="45"/>
      <c r="F5" s="46" t="s">
        <v>19</v>
      </c>
      <c r="G5" s="42"/>
      <c r="H5" s="42"/>
      <c r="I5" s="48" t="s">
        <v>59</v>
      </c>
      <c r="J5" s="40"/>
      <c r="K5" s="40"/>
    </row>
    <row r="6" spans="1:12" x14ac:dyDescent="0.3">
      <c r="A6" s="45"/>
      <c r="B6" s="45"/>
      <c r="C6" s="45"/>
      <c r="D6" s="45"/>
      <c r="E6" s="45"/>
      <c r="F6" s="42"/>
      <c r="G6" s="42"/>
      <c r="H6" s="42"/>
      <c r="I6" s="40"/>
      <c r="J6" s="40"/>
      <c r="K6" s="40"/>
    </row>
    <row r="7" spans="1:12" x14ac:dyDescent="0.3">
      <c r="A7" s="44">
        <v>12</v>
      </c>
      <c r="B7" s="45"/>
      <c r="C7" s="45"/>
      <c r="D7" s="45"/>
      <c r="E7" s="45"/>
      <c r="F7" s="41">
        <v>11</v>
      </c>
      <c r="G7" s="42"/>
      <c r="H7" s="42"/>
      <c r="I7" s="39">
        <v>1</v>
      </c>
      <c r="J7" s="40"/>
      <c r="K7" s="40"/>
    </row>
    <row r="8" spans="1:12" x14ac:dyDescent="0.3">
      <c r="A8" s="45"/>
      <c r="B8" s="45"/>
      <c r="C8" s="45"/>
      <c r="D8" s="45"/>
      <c r="E8" s="45"/>
      <c r="F8" s="42"/>
      <c r="G8" s="42"/>
      <c r="H8" s="42"/>
      <c r="I8" s="40"/>
      <c r="J8" s="40"/>
      <c r="K8" s="40"/>
    </row>
    <row r="10" spans="1:12" x14ac:dyDescent="0.3">
      <c r="A10" s="43" t="s">
        <v>66</v>
      </c>
      <c r="B10" s="34"/>
      <c r="C10" s="34"/>
      <c r="D10" s="34"/>
      <c r="E10" s="34"/>
      <c r="F10" s="34"/>
      <c r="H10" s="43" t="s">
        <v>67</v>
      </c>
      <c r="I10" s="34"/>
      <c r="J10" s="34"/>
      <c r="K10" s="34"/>
      <c r="L10" s="34"/>
    </row>
    <row r="11" spans="1:12" ht="26.4" x14ac:dyDescent="0.3">
      <c r="A11" s="1" t="s">
        <v>68</v>
      </c>
      <c r="B11" s="1" t="s">
        <v>69</v>
      </c>
      <c r="C11" s="1" t="s">
        <v>17</v>
      </c>
      <c r="D11" s="1" t="s">
        <v>70</v>
      </c>
      <c r="E11" s="1" t="s">
        <v>22</v>
      </c>
      <c r="F11" s="1" t="s">
        <v>30</v>
      </c>
      <c r="H11" s="1" t="s">
        <v>71</v>
      </c>
      <c r="I11" s="1" t="s">
        <v>72</v>
      </c>
      <c r="J11" s="1" t="s">
        <v>73</v>
      </c>
    </row>
    <row r="12" spans="1:12" x14ac:dyDescent="0.3">
      <c r="A12" s="6" t="s">
        <v>15</v>
      </c>
      <c r="B12" s="6">
        <v>3</v>
      </c>
      <c r="C12" s="6">
        <v>2</v>
      </c>
      <c r="D12" s="6">
        <v>0</v>
      </c>
      <c r="E12" s="6">
        <v>1</v>
      </c>
      <c r="F12" s="6">
        <v>0</v>
      </c>
      <c r="H12" s="18" t="s">
        <v>17</v>
      </c>
      <c r="I12" s="19">
        <v>6</v>
      </c>
      <c r="J12" s="18" t="s">
        <v>74</v>
      </c>
      <c r="K12" s="34"/>
      <c r="L12" s="34"/>
    </row>
    <row r="13" spans="1:12" x14ac:dyDescent="0.3">
      <c r="A13" s="13" t="s">
        <v>29</v>
      </c>
      <c r="B13" s="13">
        <v>4</v>
      </c>
      <c r="C13" s="13">
        <v>2</v>
      </c>
      <c r="D13" s="13">
        <v>1</v>
      </c>
      <c r="E13" s="13">
        <v>0</v>
      </c>
      <c r="F13" s="13">
        <v>1</v>
      </c>
      <c r="H13" s="20" t="s">
        <v>37</v>
      </c>
      <c r="I13" s="21">
        <v>4</v>
      </c>
      <c r="J13" s="20" t="s">
        <v>75</v>
      </c>
      <c r="K13" s="34"/>
      <c r="L13" s="34"/>
    </row>
    <row r="14" spans="1:12" x14ac:dyDescent="0.3">
      <c r="A14" s="6" t="s">
        <v>41</v>
      </c>
      <c r="B14" s="6">
        <v>3</v>
      </c>
      <c r="C14" s="6">
        <v>1</v>
      </c>
      <c r="D14" s="6">
        <v>1</v>
      </c>
      <c r="E14" s="6">
        <v>0</v>
      </c>
      <c r="F14" s="6">
        <v>1</v>
      </c>
      <c r="H14" s="22" t="s">
        <v>22</v>
      </c>
      <c r="I14" s="23">
        <v>1</v>
      </c>
      <c r="J14" s="22" t="s">
        <v>76</v>
      </c>
      <c r="K14" s="34"/>
      <c r="L14" s="34"/>
    </row>
    <row r="15" spans="1:12" x14ac:dyDescent="0.3">
      <c r="A15" s="13" t="s">
        <v>51</v>
      </c>
      <c r="B15" s="13">
        <v>3</v>
      </c>
      <c r="C15" s="13">
        <v>1</v>
      </c>
      <c r="D15" s="13">
        <v>2</v>
      </c>
      <c r="E15" s="13">
        <v>0</v>
      </c>
      <c r="F15" s="13">
        <v>0</v>
      </c>
      <c r="H15" s="24" t="s">
        <v>30</v>
      </c>
      <c r="I15" s="25">
        <v>1</v>
      </c>
      <c r="J15" s="24" t="s">
        <v>76</v>
      </c>
      <c r="K15" s="34"/>
      <c r="L15" s="34"/>
    </row>
    <row r="16" spans="1:12" x14ac:dyDescent="0.3">
      <c r="A16" s="26" t="s">
        <v>77</v>
      </c>
      <c r="B16" s="26">
        <v>12</v>
      </c>
      <c r="C16" s="26">
        <v>6</v>
      </c>
      <c r="D16" s="26">
        <v>4</v>
      </c>
      <c r="E16" s="26">
        <v>1</v>
      </c>
      <c r="F16" s="26">
        <v>2</v>
      </c>
    </row>
  </sheetData>
  <mergeCells count="14">
    <mergeCell ref="F5:H6"/>
    <mergeCell ref="K15:L15"/>
    <mergeCell ref="A1:L2"/>
    <mergeCell ref="I5:K6"/>
    <mergeCell ref="H10:L10"/>
    <mergeCell ref="K13:L13"/>
    <mergeCell ref="A5:E6"/>
    <mergeCell ref="A3:L3"/>
    <mergeCell ref="K14:L14"/>
    <mergeCell ref="I7:K8"/>
    <mergeCell ref="F7:H8"/>
    <mergeCell ref="A10:F10"/>
    <mergeCell ref="K12:L12"/>
    <mergeCell ref="A7:E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A34A"/>
  </sheetPr>
  <dimension ref="A1:B7"/>
  <sheetViews>
    <sheetView showGridLines="0" workbookViewId="0">
      <selection sqref="A1:B1"/>
    </sheetView>
  </sheetViews>
  <sheetFormatPr defaultRowHeight="14.4" x14ac:dyDescent="0.3"/>
  <cols>
    <col min="1" max="1" width="18" customWidth="1"/>
    <col min="2" max="2" width="55" customWidth="1"/>
  </cols>
  <sheetData>
    <row r="1" spans="1:2" ht="15.6" x14ac:dyDescent="0.3">
      <c r="A1" s="50" t="s">
        <v>78</v>
      </c>
      <c r="B1" s="34"/>
    </row>
    <row r="2" spans="1:2" x14ac:dyDescent="0.3">
      <c r="A2" s="1" t="s">
        <v>71</v>
      </c>
      <c r="B2" s="1" t="s">
        <v>5</v>
      </c>
    </row>
    <row r="3" spans="1:2" ht="24" customHeight="1" x14ac:dyDescent="0.3">
      <c r="A3" s="19" t="s">
        <v>17</v>
      </c>
      <c r="B3" s="27" t="s">
        <v>79</v>
      </c>
    </row>
    <row r="4" spans="1:2" ht="24" customHeight="1" x14ac:dyDescent="0.3">
      <c r="A4" s="21" t="s">
        <v>37</v>
      </c>
      <c r="B4" s="28" t="s">
        <v>80</v>
      </c>
    </row>
    <row r="5" spans="1:2" ht="24" customHeight="1" x14ac:dyDescent="0.3">
      <c r="A5" s="23" t="s">
        <v>22</v>
      </c>
      <c r="B5" s="29" t="s">
        <v>81</v>
      </c>
    </row>
    <row r="6" spans="1:2" ht="24" customHeight="1" x14ac:dyDescent="0.3">
      <c r="A6" s="30" t="s">
        <v>82</v>
      </c>
      <c r="B6" s="31" t="s">
        <v>83</v>
      </c>
    </row>
    <row r="7" spans="1:2" ht="24" customHeight="1" x14ac:dyDescent="0.3">
      <c r="A7" s="25" t="s">
        <v>30</v>
      </c>
      <c r="B7" s="32" t="s">
        <v>84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7706"/>
  </sheetPr>
  <dimension ref="A1:G7"/>
  <sheetViews>
    <sheetView showGridLines="0" workbookViewId="0">
      <selection sqref="A1:G2"/>
    </sheetView>
  </sheetViews>
  <sheetFormatPr defaultRowHeight="14.4" x14ac:dyDescent="0.3"/>
  <cols>
    <col min="1" max="1" width="12" customWidth="1"/>
    <col min="2" max="3" width="14" customWidth="1"/>
    <col min="4" max="4" width="13" customWidth="1"/>
    <col min="5" max="5" width="10" customWidth="1"/>
    <col min="6" max="6" width="8" customWidth="1"/>
    <col min="7" max="7" width="50" customWidth="1"/>
  </cols>
  <sheetData>
    <row r="1" spans="1:7" x14ac:dyDescent="0.3">
      <c r="A1" s="51" t="s">
        <v>85</v>
      </c>
      <c r="B1" s="34"/>
      <c r="C1" s="34"/>
      <c r="D1" s="34"/>
      <c r="E1" s="34"/>
      <c r="F1" s="34"/>
      <c r="G1" s="34"/>
    </row>
    <row r="2" spans="1:7" x14ac:dyDescent="0.3">
      <c r="A2" s="34"/>
      <c r="B2" s="34"/>
      <c r="C2" s="34"/>
      <c r="D2" s="34"/>
      <c r="E2" s="34"/>
      <c r="F2" s="34"/>
      <c r="G2" s="34"/>
    </row>
    <row r="3" spans="1:7" ht="28.05" customHeight="1" x14ac:dyDescent="0.3">
      <c r="A3" s="1" t="s">
        <v>68</v>
      </c>
      <c r="B3" s="1" t="s">
        <v>86</v>
      </c>
      <c r="C3" s="1" t="s">
        <v>87</v>
      </c>
      <c r="D3" s="1" t="s">
        <v>65</v>
      </c>
      <c r="E3" s="1" t="s">
        <v>19</v>
      </c>
      <c r="F3" s="1" t="s">
        <v>59</v>
      </c>
      <c r="G3" s="1" t="s">
        <v>88</v>
      </c>
    </row>
    <row r="4" spans="1:7" ht="30" customHeight="1" x14ac:dyDescent="0.3">
      <c r="A4" s="6" t="s">
        <v>15</v>
      </c>
      <c r="B4" s="5">
        <v>46055</v>
      </c>
      <c r="C4" s="5">
        <v>46066</v>
      </c>
      <c r="D4" s="6">
        <v>3</v>
      </c>
      <c r="E4" s="6">
        <v>3</v>
      </c>
      <c r="F4" s="6">
        <v>0</v>
      </c>
      <c r="G4" s="4" t="s">
        <v>89</v>
      </c>
    </row>
    <row r="5" spans="1:7" ht="30" customHeight="1" x14ac:dyDescent="0.3">
      <c r="A5" s="13" t="s">
        <v>29</v>
      </c>
      <c r="B5" s="12">
        <v>46069</v>
      </c>
      <c r="C5" s="12">
        <v>46081</v>
      </c>
      <c r="D5" s="13">
        <v>4</v>
      </c>
      <c r="E5" s="13">
        <v>4</v>
      </c>
      <c r="F5" s="13">
        <v>0</v>
      </c>
      <c r="G5" s="11" t="s">
        <v>90</v>
      </c>
    </row>
    <row r="6" spans="1:7" ht="30" customHeight="1" x14ac:dyDescent="0.3">
      <c r="A6" s="6" t="s">
        <v>41</v>
      </c>
      <c r="B6" s="5">
        <v>46084</v>
      </c>
      <c r="C6" s="5">
        <v>46094</v>
      </c>
      <c r="D6" s="6">
        <v>3</v>
      </c>
      <c r="E6" s="6">
        <v>3</v>
      </c>
      <c r="F6" s="6">
        <v>0</v>
      </c>
      <c r="G6" s="4" t="s">
        <v>91</v>
      </c>
    </row>
    <row r="7" spans="1:7" ht="30" customHeight="1" x14ac:dyDescent="0.3">
      <c r="A7" s="13" t="s">
        <v>51</v>
      </c>
      <c r="B7" s="12">
        <v>46097</v>
      </c>
      <c r="C7" s="12">
        <v>46109</v>
      </c>
      <c r="D7" s="13">
        <v>3</v>
      </c>
      <c r="E7" s="13">
        <v>2</v>
      </c>
      <c r="F7" s="13">
        <v>1</v>
      </c>
      <c r="G7" s="11" t="s">
        <v>92</v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Defect Log</vt:lpstr>
      <vt:lpstr>Dashboard</vt:lpstr>
      <vt:lpstr>Defect Types</vt:lpstr>
      <vt:lpstr>Sprint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Binsika PD</cp:lastModifiedBy>
  <dcterms:created xsi:type="dcterms:W3CDTF">2026-04-10T02:35:34Z</dcterms:created>
  <dcterms:modified xsi:type="dcterms:W3CDTF">2026-04-10T02:36:53Z</dcterms:modified>
</cp:coreProperties>
</file>